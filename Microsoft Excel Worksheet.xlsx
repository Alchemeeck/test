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chemeeck\Desktop\"/>
    </mc:Choice>
  </mc:AlternateContent>
  <xr:revisionPtr revIDLastSave="0" documentId="13_ncr:1_{2578761E-64D6-4807-8F1F-EABD41E949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Sheet1!$L$2:$L$8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1" l="1"/>
  <c r="V3" i="1"/>
  <c r="W3" i="1"/>
  <c r="T3" i="1"/>
  <c r="R5" i="1"/>
  <c r="R3" i="1"/>
  <c r="R4" i="1"/>
  <c r="L4" i="1"/>
  <c r="L5" i="1"/>
  <c r="L6" i="1"/>
  <c r="L7" i="1"/>
  <c r="L8" i="1"/>
  <c r="L3" i="1"/>
  <c r="N5" i="1"/>
  <c r="J3" i="1"/>
  <c r="K3" i="1"/>
  <c r="N3" i="1" s="1"/>
  <c r="K5" i="1"/>
  <c r="K6" i="1"/>
  <c r="N6" i="1" s="1"/>
  <c r="K7" i="1"/>
  <c r="N7" i="1" s="1"/>
  <c r="K8" i="1"/>
  <c r="N8" i="1" s="1"/>
  <c r="K4" i="1"/>
  <c r="J5" i="1"/>
  <c r="J6" i="1"/>
  <c r="J7" i="1"/>
  <c r="J8" i="1"/>
  <c r="J4" i="1"/>
  <c r="N4" i="1" l="1"/>
</calcChain>
</file>

<file path=xl/sharedStrings.xml><?xml version="1.0" encoding="utf-8"?>
<sst xmlns="http://schemas.openxmlformats.org/spreadsheetml/2006/main" count="31" uniqueCount="24">
  <si>
    <t>Фамилия Имя Отчество</t>
  </si>
  <si>
    <t>Город рождения</t>
  </si>
  <si>
    <t>Дата рождения</t>
  </si>
  <si>
    <t>Оценки по курсу</t>
  </si>
  <si>
    <t>Информатика</t>
  </si>
  <si>
    <t>Линейная алгебра</t>
  </si>
  <si>
    <t>Культурология</t>
  </si>
  <si>
    <t>Психология</t>
  </si>
  <si>
    <t>Иванов Иван Иванович</t>
  </si>
  <si>
    <t>Санкт-Петербург</t>
  </si>
  <si>
    <t>Лапушкин Валерий Федорович</t>
  </si>
  <si>
    <t>Калиточкин Михаил Сергеевич</t>
  </si>
  <si>
    <t>Мурманск</t>
  </si>
  <si>
    <t>н/я</t>
  </si>
  <si>
    <t>Зинаев Дмитрий Алексеевич</t>
  </si>
  <si>
    <t>Архангельск</t>
  </si>
  <si>
    <t>Валюшин Роман Капитонович</t>
  </si>
  <si>
    <t>Калининград</t>
  </si>
  <si>
    <t>Завитушкин Владимир Ильич</t>
  </si>
  <si>
    <t>Tier</t>
  </si>
  <si>
    <t>Count</t>
  </si>
  <si>
    <t>&lt;4</t>
  </si>
  <si>
    <t>4-5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</si>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</sst>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sz val="14"/>
      <color rgb="FF333333"/>
      <name val="Arial"/>
      <family val="2"/>
      <charset val="204"/>
    </font>
    <font>
      <b/>
      <sz val="16"/>
      <color rgb="FF333333"/>
      <name val="Garamond"/>
      <family val="1"/>
      <charset val="204"/>
    </font>
    <font>
      <b/>
      <sz val="16"/>
      <color rgb="FF1D2125"/>
      <name val="Garamond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8F8F8"/>
        <bgColor indexed="64"/>
      </patternFill>
    </fill>
  </fills>
  <borders count="11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/>
      <top/>
      <bottom/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 applyProtection="1">
      <alignment horizontal="center" wrapText="1"/>
    </xf>
    <xf numFmtId="0" fontId="2" fillId="3" borderId="3" xfId="0" applyFont="1" applyFill="1" applyBorder="1" applyAlignment="1" applyProtection="1">
      <alignment horizontal="center" wrapText="1"/>
    </xf>
    <xf numFmtId="0" fontId="2" fillId="3" borderId="9" xfId="0" applyFont="1" applyFill="1" applyBorder="1" applyAlignment="1" applyProtection="1">
      <alignment horizontal="left" wrapText="1"/>
    </xf>
    <xf numFmtId="0" fontId="2" fillId="3" borderId="10" xfId="0" applyFont="1" applyFill="1" applyBorder="1" applyAlignment="1" applyProtection="1">
      <alignment horizontal="left" wrapText="1"/>
    </xf>
    <xf numFmtId="0" fontId="1" fillId="0" borderId="0" xfId="0" applyFont="1" applyAlignment="1"/>
    <xf numFmtId="0" fontId="2" fillId="3" borderId="2" xfId="0" applyFont="1" applyFill="1" applyBorder="1" applyAlignment="1" applyProtection="1">
      <alignment horizontal="center" wrapText="1"/>
    </xf>
    <xf numFmtId="0" fontId="2" fillId="3" borderId="0" xfId="0" applyFont="1" applyFill="1" applyBorder="1" applyAlignment="1" applyProtection="1">
      <alignment horizontal="center" wrapText="1"/>
    </xf>
    <xf numFmtId="0" fontId="2" fillId="3" borderId="1" xfId="0" applyFont="1" applyFill="1" applyBorder="1" applyAlignment="1" applyProtection="1">
      <alignment horizontal="left" wrapText="1"/>
    </xf>
    <xf numFmtId="0" fontId="2" fillId="3" borderId="3" xfId="0" applyFont="1" applyFill="1" applyBorder="1" applyAlignment="1" applyProtection="1">
      <alignment horizontal="left" wrapText="1"/>
    </xf>
    <xf numFmtId="0" fontId="2" fillId="3" borderId="4" xfId="0" applyFont="1" applyFill="1" applyBorder="1" applyAlignment="1" applyProtection="1">
      <alignment horizontal="left" wrapText="1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0" xfId="0" applyFont="1" applyFill="1" applyAlignment="1">
      <alignment horizontal="left" vertical="top" wrapText="1" indent="1"/>
    </xf>
    <xf numFmtId="14" fontId="3" fillId="2" borderId="0" xfId="0" applyNumberFormat="1" applyFont="1" applyFill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4" borderId="2" xfId="0" applyFont="1" applyFill="1" applyBorder="1" applyAlignment="1">
      <alignment horizontal="left" vertical="top" wrapText="1" indent="1"/>
    </xf>
    <xf numFmtId="0" fontId="3" fillId="4" borderId="0" xfId="0" applyFont="1" applyFill="1" applyAlignment="1">
      <alignment horizontal="left" vertical="top" wrapText="1" indent="1"/>
    </xf>
    <xf numFmtId="14" fontId="3" fillId="4" borderId="0" xfId="0" applyNumberFormat="1" applyFont="1" applyFill="1" applyAlignment="1">
      <alignment horizontal="left" vertical="top" wrapText="1" indent="1"/>
    </xf>
    <xf numFmtId="0" fontId="3" fillId="4" borderId="5" xfId="0" applyFont="1" applyFill="1" applyBorder="1" applyAlignment="1">
      <alignment horizontal="left" vertical="top" wrapText="1" indent="1"/>
    </xf>
    <xf numFmtId="0" fontId="4" fillId="4" borderId="6" xfId="0" applyFont="1" applyFill="1" applyBorder="1" applyAlignment="1">
      <alignment horizontal="left" vertical="top" wrapText="1" indent="1"/>
    </xf>
    <xf numFmtId="0" fontId="4" fillId="4" borderId="7" xfId="0" applyFont="1" applyFill="1" applyBorder="1" applyAlignment="1">
      <alignment horizontal="left" vertical="top" wrapText="1" indent="1"/>
    </xf>
    <xf numFmtId="14" fontId="4" fillId="4" borderId="7" xfId="0" applyNumberFormat="1" applyFont="1" applyFill="1" applyBorder="1" applyAlignment="1">
      <alignment horizontal="left" vertical="top" wrapText="1" indent="1"/>
    </xf>
    <xf numFmtId="0" fontId="4" fillId="4" borderId="8" xfId="0" applyFont="1" applyFill="1" applyBorder="1" applyAlignment="1">
      <alignment horizontal="left" vertical="top" wrapText="1" indent="1"/>
    </xf>
    <xf numFmtId="0" fontId="0" fillId="0" borderId="0" xfId="0" applyNumberFormat="1" applyAlignment="1">
      <alignment vertical="center"/>
    </xf>
    <xf numFmtId="169" fontId="1" fillId="0" borderId="0" xfId="0" applyNumberFormat="1" applyFont="1" applyAlignment="1"/>
    <xf numFmtId="0" fontId="0" fillId="0" borderId="0" xfId="0" applyAlignment="1">
      <alignment horizontal="center" vertical="center"/>
    </xf>
    <xf numFmtId="16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среднего балла</a:t>
            </a:r>
            <a:endParaRPr lang="en-US"/>
          </a:p>
        </c:rich>
      </c:tx>
      <c:layout>
        <c:manualLayout>
          <c:xMode val="edge"/>
          <c:yMode val="edge"/>
          <c:x val="0.23376377952755906"/>
          <c:y val="2.7777787903830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Sheet1!$R$2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3E-4306-A989-D95E8E2B8D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3E-4306-A989-D95E8E2B8D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3E-4306-A989-D95E8E2B8D86}"/>
              </c:ext>
            </c:extLst>
          </c:dPt>
          <c:cat>
            <c:strRef>
              <c:f>Sheet1!$Q$3:$Q$5</c:f>
              <c:strCache>
                <c:ptCount val="3"/>
                <c:pt idx="0">
                  <c:v>&lt;4</c:v>
                </c:pt>
                <c:pt idx="1">
                  <c:v>4-5</c:v>
                </c:pt>
                <c:pt idx="2">
                  <c:v>5</c:v>
                </c:pt>
              </c:strCache>
            </c:strRef>
          </c:cat>
          <c:val>
            <c:numRef>
              <c:f>Sheet1!$R$3:$R$5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3E-4306-A989-D95E8E2B8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</a:t>
            </a:r>
            <a:r>
              <a:rPr lang="ru-RU" baseline="0"/>
              <a:t> балл по предмету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Sheet1!$T$2:$W$2</c:f>
              <c:strCache>
                <c:ptCount val="4"/>
                <c:pt idx="0">
                  <c:v>Информатика</c:v>
                </c:pt>
                <c:pt idx="1">
                  <c:v>Линейная алгебра</c:v>
                </c:pt>
                <c:pt idx="2">
                  <c:v>Культурология</c:v>
                </c:pt>
                <c:pt idx="3">
                  <c:v>Психология</c:v>
                </c:pt>
              </c:strCache>
            </c:strRef>
          </c:cat>
          <c:val>
            <c:numRef>
              <c:f>Sheet1!$T$3:$W$3</c:f>
              <c:numCache>
                <c:formatCode>General</c:formatCode>
                <c:ptCount val="4"/>
                <c:pt idx="0">
                  <c:v>4.2</c:v>
                </c:pt>
                <c:pt idx="1">
                  <c:v>4</c:v>
                </c:pt>
                <c:pt idx="2">
                  <c:v>4</c:v>
                </c:pt>
                <c:pt idx="3">
                  <c:v>4.333333333333333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E-43B4-9382-EC2C3ECD8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5935183"/>
        <c:axId val="1105937583"/>
      </c:barChart>
      <c:catAx>
        <c:axId val="110593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5937583"/>
        <c:crosses val="autoZero"/>
        <c:auto val="1"/>
        <c:lblAlgn val="ctr"/>
        <c:lblOffset val="100"/>
        <c:noMultiLvlLbl val="0"/>
      </c:catAx>
      <c:valAx>
        <c:axId val="110593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593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1E260E-82F8-4307-979B-15DD42F87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EB135-CD1A-4735-8910-4D6F49AAA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topLeftCell="C1" zoomScale="56" workbookViewId="0">
      <pane ySplit="2" topLeftCell="A3" activePane="bottomLeft" state="frozen"/>
      <selection pane="bottomLeft" activeCell="W8" sqref="W8"/>
    </sheetView>
  </sheetViews>
  <sheetFormatPr defaultRowHeight="14.5" x14ac:dyDescent="0.35"/>
  <cols>
    <col min="1" max="1" width="19.6328125" customWidth="1"/>
    <col min="2" max="2" width="21.08984375" customWidth="1"/>
    <col min="3" max="3" width="14.81640625" bestFit="1" customWidth="1"/>
    <col min="4" max="4" width="18.36328125" customWidth="1"/>
    <col min="5" max="5" width="12.90625" customWidth="1"/>
    <col min="6" max="6" width="18.1796875" customWidth="1"/>
    <col min="7" max="7" width="15.453125" customWidth="1"/>
    <col min="10" max="10" width="9.90625" bestFit="1" customWidth="1"/>
    <col min="11" max="11" width="12.26953125" bestFit="1" customWidth="1"/>
  </cols>
  <sheetData>
    <row r="1" spans="1:23" s="5" customFormat="1" ht="18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/>
      <c r="F1" s="3"/>
      <c r="G1" s="4"/>
    </row>
    <row r="2" spans="1:23" s="5" customFormat="1" ht="70" x14ac:dyDescent="0.35">
      <c r="A2" s="6"/>
      <c r="B2" s="7"/>
      <c r="C2" s="7"/>
      <c r="D2" s="8" t="s">
        <v>4</v>
      </c>
      <c r="E2" s="9" t="s">
        <v>5</v>
      </c>
      <c r="F2" s="9" t="s">
        <v>6</v>
      </c>
      <c r="G2" s="10" t="s">
        <v>7</v>
      </c>
      <c r="K2" s="24">
        <v>2.4</v>
      </c>
      <c r="Q2" s="5" t="s">
        <v>19</v>
      </c>
      <c r="R2" s="5" t="s">
        <v>20</v>
      </c>
      <c r="T2" s="8" t="s">
        <v>4</v>
      </c>
      <c r="U2" s="9" t="s">
        <v>5</v>
      </c>
      <c r="V2" s="9" t="s">
        <v>6</v>
      </c>
      <c r="W2" s="10" t="s">
        <v>7</v>
      </c>
    </row>
    <row r="3" spans="1:23" ht="61.5" x14ac:dyDescent="0.35">
      <c r="A3" s="11" t="s">
        <v>8</v>
      </c>
      <c r="B3" s="12" t="s">
        <v>9</v>
      </c>
      <c r="C3" s="13">
        <v>39345</v>
      </c>
      <c r="D3" s="12">
        <v>5</v>
      </c>
      <c r="E3" s="12">
        <v>3</v>
      </c>
      <c r="F3" s="12">
        <v>4</v>
      </c>
      <c r="G3" s="14">
        <v>4</v>
      </c>
      <c r="J3" s="23">
        <f ca="1">(YEAR(TODAY())-YEAR(C3))</f>
        <v>18</v>
      </c>
      <c r="K3" s="25">
        <f>SUM(D3:G3)/(4-(4-COUNT(D3:G3)))</f>
        <v>4</v>
      </c>
      <c r="L3" s="25">
        <f>IF(K3=5,3,IF(K3&gt;=4,2,1))</f>
        <v>2</v>
      </c>
      <c r="N3">
        <f>$K$2*K3</f>
        <v>9.6</v>
      </c>
      <c r="Q3" s="27" t="s">
        <v>21</v>
      </c>
      <c r="R3">
        <f>COUNTIF(L3:L8,"=1")</f>
        <v>2</v>
      </c>
      <c r="T3">
        <f>AVERAGE(D3:D8)</f>
        <v>4.2</v>
      </c>
      <c r="U3">
        <f>AVERAGE(E3:E8)</f>
        <v>4</v>
      </c>
      <c r="V3">
        <f t="shared" ref="U3:W3" si="0">AVERAGE(F3:F8)</f>
        <v>4</v>
      </c>
      <c r="W3">
        <f t="shared" si="0"/>
        <v>4.333333333333333</v>
      </c>
    </row>
    <row r="4" spans="1:23" ht="61.5" customHeight="1" x14ac:dyDescent="0.35">
      <c r="A4" s="15" t="s">
        <v>10</v>
      </c>
      <c r="B4" s="16" t="s">
        <v>9</v>
      </c>
      <c r="C4" s="17">
        <v>38944</v>
      </c>
      <c r="D4" s="16">
        <v>4</v>
      </c>
      <c r="E4" s="16">
        <v>4</v>
      </c>
      <c r="F4" s="16">
        <v>4</v>
      </c>
      <c r="G4" s="18">
        <v>4</v>
      </c>
      <c r="J4" s="23">
        <f ca="1">(YEAR(TODAY())-YEAR(C4))</f>
        <v>19</v>
      </c>
      <c r="K4" s="25">
        <f>SUM(D4:G4)/(4-(4-COUNT(D4:G4)))</f>
        <v>4</v>
      </c>
      <c r="L4" s="25">
        <f t="shared" ref="L4:L8" si="1">IF(K4=5,3,IF(K4&gt;=4,2,1))</f>
        <v>2</v>
      </c>
      <c r="N4">
        <f>$K$2*K4</f>
        <v>9.6</v>
      </c>
      <c r="Q4" s="26" t="s">
        <v>22</v>
      </c>
      <c r="R4">
        <f>COUNTIF(L3:L8,"=2")</f>
        <v>3</v>
      </c>
    </row>
    <row r="5" spans="1:23" ht="72" customHeight="1" x14ac:dyDescent="0.35">
      <c r="A5" s="11" t="s">
        <v>11</v>
      </c>
      <c r="B5" s="12" t="s">
        <v>12</v>
      </c>
      <c r="C5" s="13">
        <v>38052</v>
      </c>
      <c r="D5" s="12" t="s">
        <v>13</v>
      </c>
      <c r="E5" s="12">
        <v>3</v>
      </c>
      <c r="F5" s="12">
        <v>4</v>
      </c>
      <c r="G5" s="14">
        <v>4</v>
      </c>
      <c r="J5" s="23">
        <f t="shared" ref="J5:J8" ca="1" si="2">(YEAR(TODAY())-YEAR(C5))</f>
        <v>21</v>
      </c>
      <c r="K5" s="25">
        <f t="shared" ref="K5:K8" si="3">SUM(D5:G5)/(4-(4-COUNT(D5:G5)))</f>
        <v>3.6666666666666665</v>
      </c>
      <c r="L5" s="25">
        <f t="shared" si="1"/>
        <v>1</v>
      </c>
      <c r="N5">
        <f>$K$2*K5</f>
        <v>8.7999999999999989</v>
      </c>
      <c r="Q5" s="27" t="s">
        <v>23</v>
      </c>
      <c r="R5">
        <f>COUNTIF(L3:L8,"=3")</f>
        <v>1</v>
      </c>
    </row>
    <row r="6" spans="1:23" ht="72" customHeight="1" x14ac:dyDescent="0.35">
      <c r="A6" s="15" t="s">
        <v>14</v>
      </c>
      <c r="B6" s="16" t="s">
        <v>15</v>
      </c>
      <c r="C6" s="17">
        <v>39075</v>
      </c>
      <c r="D6" s="16">
        <v>5</v>
      </c>
      <c r="E6" s="16">
        <v>5</v>
      </c>
      <c r="F6" s="16">
        <v>5</v>
      </c>
      <c r="G6" s="18">
        <v>5</v>
      </c>
      <c r="J6" s="23">
        <f t="shared" ca="1" si="2"/>
        <v>19</v>
      </c>
      <c r="K6" s="25">
        <f t="shared" si="3"/>
        <v>5</v>
      </c>
      <c r="L6" s="25">
        <f t="shared" si="1"/>
        <v>3</v>
      </c>
      <c r="N6">
        <f>$K$2*K6</f>
        <v>12</v>
      </c>
    </row>
    <row r="7" spans="1:23" ht="73" customHeight="1" x14ac:dyDescent="0.35">
      <c r="A7" s="11" t="s">
        <v>16</v>
      </c>
      <c r="B7" s="12" t="s">
        <v>17</v>
      </c>
      <c r="C7" s="13">
        <v>39124</v>
      </c>
      <c r="D7" s="12">
        <v>3</v>
      </c>
      <c r="E7" s="12" t="s">
        <v>13</v>
      </c>
      <c r="F7" s="12">
        <v>4</v>
      </c>
      <c r="G7" s="14">
        <v>4</v>
      </c>
      <c r="J7" s="23">
        <f t="shared" ca="1" si="2"/>
        <v>18</v>
      </c>
      <c r="K7" s="25">
        <f t="shared" si="3"/>
        <v>3.6666666666666665</v>
      </c>
      <c r="L7" s="25">
        <f t="shared" si="1"/>
        <v>1</v>
      </c>
      <c r="N7">
        <f>$K$2*K7</f>
        <v>8.7999999999999989</v>
      </c>
    </row>
    <row r="8" spans="1:23" ht="64.5" customHeight="1" thickBot="1" x14ac:dyDescent="0.4">
      <c r="A8" s="19" t="s">
        <v>18</v>
      </c>
      <c r="B8" s="20" t="s">
        <v>9</v>
      </c>
      <c r="C8" s="21">
        <v>38977</v>
      </c>
      <c r="D8" s="20">
        <v>4</v>
      </c>
      <c r="E8" s="20">
        <v>5</v>
      </c>
      <c r="F8" s="20">
        <v>3</v>
      </c>
      <c r="G8" s="22">
        <v>5</v>
      </c>
      <c r="J8" s="23">
        <f t="shared" ca="1" si="2"/>
        <v>19</v>
      </c>
      <c r="K8" s="25">
        <f t="shared" si="3"/>
        <v>4.25</v>
      </c>
      <c r="L8" s="25">
        <f t="shared" si="1"/>
        <v>2</v>
      </c>
      <c r="N8">
        <f>$K$2*K8</f>
        <v>10.199999999999999</v>
      </c>
    </row>
  </sheetData>
  <mergeCells count="4">
    <mergeCell ref="A1:A2"/>
    <mergeCell ref="B1:B2"/>
    <mergeCell ref="C1:C2"/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42A5-9207-4914-BE88-2D950B1D9004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99E7-B911-4BC9-89E0-42DCFAD46F34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Alchemeeck</dc:creator>
  <cp:lastModifiedBy>Владислав Котов</cp:lastModifiedBy>
  <dcterms:created xsi:type="dcterms:W3CDTF">2015-06-05T18:17:20Z</dcterms:created>
  <dcterms:modified xsi:type="dcterms:W3CDTF">2025-10-03T12:51:55Z</dcterms:modified>
</cp:coreProperties>
</file>